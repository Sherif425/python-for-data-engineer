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python-for-data-engineer\16-week Curriculum\"/>
    </mc:Choice>
  </mc:AlternateContent>
  <xr:revisionPtr revIDLastSave="0" documentId="13_ncr:1_{F5B7AE8C-0CC3-45E5-855A-C88B4BB1015E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Dashboard" sheetId="1" r:id="rId1"/>
    <sheet name="Curriculum" sheetId="2" r:id="rId2"/>
    <sheet name="Drill Log" sheetId="3" r:id="rId3"/>
    <sheet name="Mentor Review" sheetId="4" r:id="rId4"/>
    <sheet name="Notes" sheetId="5" r:id="rId5"/>
  </sheets>
  <calcPr calcId="191029"/>
</workbook>
</file>

<file path=xl/calcChain.xml><?xml version="1.0" encoding="utf-8"?>
<calcChain xmlns="http://schemas.openxmlformats.org/spreadsheetml/2006/main">
  <c r="B13" i="4" l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B8" i="1"/>
  <c r="B7" i="1"/>
  <c r="B6" i="1"/>
  <c r="B5" i="1"/>
</calcChain>
</file>

<file path=xl/sharedStrings.xml><?xml version="1.0" encoding="utf-8"?>
<sst xmlns="http://schemas.openxmlformats.org/spreadsheetml/2006/main" count="200" uniqueCount="137">
  <si>
    <t>Python for Data Engineering — 16-Week Mentored Progress Tracker</t>
  </si>
  <si>
    <t>Flexible pacing: accelerate easy topics; slow down where deeper understanding is needed.</t>
  </si>
  <si>
    <t>Current Week</t>
  </si>
  <si>
    <t>Week 2</t>
  </si>
  <si>
    <t>Mentoring Loop</t>
  </si>
  <si>
    <t>Overall Progress</t>
  </si>
  <si>
    <t>1. Mentor explanation</t>
  </si>
  <si>
    <t>Completed Weeks</t>
  </si>
  <si>
    <t>2. Guided examples</t>
  </si>
  <si>
    <t>In Progress Weeks</t>
  </si>
  <si>
    <t>3. Independent drills</t>
  </si>
  <si>
    <t>Weeks Remaining</t>
  </si>
  <si>
    <t>4. Challenge / mini-project</t>
  </si>
  <si>
    <t>5. Code review</t>
  </si>
  <si>
    <t>6. Reflection &amp; reinforcement</t>
  </si>
  <si>
    <t>Weekly Status</t>
  </si>
  <si>
    <t>Week</t>
  </si>
  <si>
    <t>Focus</t>
  </si>
  <si>
    <t>Status</t>
  </si>
  <si>
    <t>Progress</t>
  </si>
  <si>
    <t>Hands-on Outcome</t>
  </si>
  <si>
    <t>Python Foundations for Data Processing</t>
  </si>
  <si>
    <t>Clean and validate a collection of raw records.</t>
  </si>
  <si>
    <t>Collections &amp; Data Manipulation</t>
  </si>
  <si>
    <t>Filter, transform, aggregate, and deduplicate records.</t>
  </si>
  <si>
    <t>Functions, Iteration &amp; Reusable Transformations</t>
  </si>
  <si>
    <t>Build a small reusable transformation library.</t>
  </si>
  <si>
    <t>Exceptions, Logging &amp; Robust Python</t>
  </si>
  <si>
    <t>Build a robust file/data processor with error handling and logging.</t>
  </si>
  <si>
    <t>Files, CSV, JSON &amp; Data Serialization</t>
  </si>
  <si>
    <t>Raw CSV/JSON → validated records → output files.</t>
  </si>
  <si>
    <t>Pythonic Data Transformation</t>
  </si>
  <si>
    <t>Transform a moderately complex dataset with multiple business rules.</t>
  </si>
  <si>
    <t>Working with APIs &amp; External Data</t>
  </si>
  <si>
    <t>Extract data from a public API and save raw responses.</t>
  </si>
  <si>
    <t>Databases with Python</t>
  </si>
  <si>
    <t>API/CSV → Python transformation → relational database.</t>
  </si>
  <si>
    <t>Pandas for Data Engineering</t>
  </si>
  <si>
    <t>Complete pandas cleaning and transformation workflow.</t>
  </si>
  <si>
    <t>NumPy &amp; Performance Fundamentals</t>
  </si>
  <si>
    <t>Compare naive Python processing with vectorized approaches.</t>
  </si>
  <si>
    <t>ETL/ELT Pipeline Design with Python</t>
  </si>
  <si>
    <t>Build a small production-style ETL pipeline.</t>
  </si>
  <si>
    <t>Testing Data Pipelines</t>
  </si>
  <si>
    <t>Add a meaningful automated test suite to the ETL pipeline.</t>
  </si>
  <si>
    <t>Advanced Python for Data Engineers</t>
  </si>
  <si>
    <t>Refactor an ETL component using stronger Python design.</t>
  </si>
  <si>
    <t>Large Data &amp; Performance-Aware Python</t>
  </si>
  <si>
    <t>Process a large synthetic dataset without loading everything into memory.</t>
  </si>
  <si>
    <t>Production-Ready Python Data Engineering</t>
  </si>
  <si>
    <t>Turn an ETL script into a maintainable CLI application.</t>
  </si>
  <si>
    <t>Capstone: End-to-End Python Data Pipeline</t>
  </si>
  <si>
    <t>Build, test, document, and review a complete Python data-engineering pipeline.</t>
  </si>
  <si>
    <t>How to use</t>
  </si>
  <si>
    <t>• Update Status in Curriculum as you progress.</t>
  </si>
  <si>
    <t>• Record each drill in Drill Log and keep the mentor review and next action.</t>
  </si>
  <si>
    <t>• Use Mentor Review for a weekly self-check; I will review submitted code in our chat.</t>
  </si>
  <si>
    <t>• Use Notes for concepts that need reinforcement or questions to revisit.</t>
  </si>
  <si>
    <t>Learning Targets</t>
  </si>
  <si>
    <t>Start Date</t>
  </si>
  <si>
    <t>Finish Date</t>
  </si>
  <si>
    <t>Mentor Notes</t>
  </si>
  <si>
    <t>Variables/types; conditions/loops/functions; string cleaning; type conversion; validation; introductory exceptions; raw vs cleaned data; rejected records.</t>
  </si>
  <si>
    <t>Completed</t>
  </si>
  <si>
    <t>Lists, tuples, sets, dictionaries; indexing/slicing; membership; unpacking; nested structures; dict.get(); keys/values/items; list/set/dict comprehensions; choosing structures.</t>
  </si>
  <si>
    <t>In Progress</t>
  </si>
  <si>
    <t>Function design; parameters/returns/defaults; *args/**kwargs; scope; map/filter/sorted/any/all; generators/yield; reusable transformations.</t>
  </si>
  <si>
    <t>Not Started</t>
  </si>
  <si>
    <t>Exception hierarchy; try/except/else/finally; catch vs propagate; custom exceptions; logging; defensive validation; observable/recoverable failures.</t>
  </si>
  <si>
    <t>pathlib; text files; CSV; JSON; encoding/newlines; streaming vs loading all data into memory.</t>
  </si>
  <si>
    <t>Comprehensions; sorting/grouping; zip/enumerate/range; Counter/defaultdict; functional vs imperative approaches; readable pipelines.</t>
  </si>
  <si>
    <t>HTTP concepts; requests/httpx; GET; parameters/headers; JSON; status codes/retries; timeouts; pagination/rate limits.</t>
  </si>
  <si>
    <t>DB-API; PostgreSQL/MySQL connections; parameterized SQL; fetching rows; transactions; batch inserts; connection management.</t>
  </si>
  <si>
    <t>Series/DataFrame; CSV/JSON I/O; selection/filtering; missing values; type conversion; strings/dates; groupby; merge/join/concat.</t>
  </si>
  <si>
    <t>Arrays/vectorization; dtypes/memory; boolean masking; Python loop costs; timeit; memory-aware processing.</t>
  </si>
  <si>
    <t>Extract→Transform→Load; stages/contracts; idempotency; incremental processing; data quality; rejected/error records; configuration/environment variables.</t>
  </si>
  <si>
    <t>pytest; unit vs integration tests; fixtures; transformation tests; malformed-data tests; assertions; test organization.</t>
  </si>
  <si>
    <t>Iterators/generators; decorators; context managers; dataclasses; type hints; TypedDict; modern typing; introductory Protocols.</t>
  </si>
  <si>
    <t>Memory profiling; chunked processing; streaming; lazy evaluation; concurrency; threading vs multiprocessing vs async; when parallelism helps.</t>
  </si>
  <si>
    <t>Project structure/packaging; configuration; env vars/secrets; logging/observability; argparse CLI; dependency management; linting; documentation/runbooks.</t>
  </si>
  <si>
    <t>Requirements-driven pipeline; API/files; validation/transformation; bad-data handling; PostgreSQL/MySQL load; testing/logging; configuration; documentation; performance; GitHub portfolio.</t>
  </si>
  <si>
    <t>Date</t>
  </si>
  <si>
    <t>Drill / Task</t>
  </si>
  <si>
    <t>Topic</t>
  </si>
  <si>
    <t>Attempt / Result</t>
  </si>
  <si>
    <t>Mentor Review</t>
  </si>
  <si>
    <t>Next Action</t>
  </si>
  <si>
    <t>2026-08-30</t>
  </si>
  <si>
    <t>Drill 1 — Collections</t>
  </si>
  <si>
    <t>Lists, dictionaries, sets</t>
  </si>
  <si>
    <t>Correct</t>
  </si>
  <si>
    <t>Reviewed — 9.5/10</t>
  </si>
  <si>
    <t>Comprehensions</t>
  </si>
  <si>
    <t>Drill 2 — Comprehensions</t>
  </si>
  <si>
    <t>List/set/dict comprehensions</t>
  </si>
  <si>
    <t>Correct after clarification</t>
  </si>
  <si>
    <t>Reviewed — passed</t>
  </si>
  <si>
    <t>Missing-data drill</t>
  </si>
  <si>
    <t>2026-09-01</t>
  </si>
  <si>
    <t>Drill 2 — Missing data</t>
  </si>
  <si>
    <t>dict.get(), missing keys, None</t>
  </si>
  <si>
    <t>Completed after refinement</t>
  </si>
  <si>
    <t>Duplicate detection</t>
  </si>
  <si>
    <t>Drill 3 — Duplicate detection</t>
  </si>
  <si>
    <t>Sets, deduplication, counting</t>
  </si>
  <si>
    <t>Tasks 1–3 correct</t>
  </si>
  <si>
    <t>Reviewed — 10/10</t>
  </si>
  <si>
    <t>Orders + Customers drill</t>
  </si>
  <si>
    <t>Drill 4 — Orders + Customers</t>
  </si>
  <si>
    <t>Lookups, enrichment, aggregation</t>
  </si>
  <si>
    <t>Submit Tasks 1–3 + bonus</t>
  </si>
  <si>
    <t>Mentor Review Standards</t>
  </si>
  <si>
    <t>Criterion</t>
  </si>
  <si>
    <t>What I Review</t>
  </si>
  <si>
    <t>Score (1–5)</t>
  </si>
  <si>
    <t>Comments / Evidence</t>
  </si>
  <si>
    <t>Correctness</t>
  </si>
  <si>
    <t>Does the code produce the required result?</t>
  </si>
  <si>
    <t>Python reasoning</t>
  </si>
  <si>
    <t>Can you explain why the code works?</t>
  </si>
  <si>
    <t>Data-engineering reasoning</t>
  </si>
  <si>
    <t>Are raw, valid, invalid, and transformed data handled appropriately?</t>
  </si>
  <si>
    <t>Readability</t>
  </si>
  <si>
    <t>Naming, structure, and clarity.</t>
  </si>
  <si>
    <t>Robustness</t>
  </si>
  <si>
    <t>Edge cases, malformed input, failures, and data quality.</t>
  </si>
  <si>
    <t>Efficiency</t>
  </si>
  <si>
    <t>Unnecessary work, memory usage, and algorithmic cost where relevant.</t>
  </si>
  <si>
    <t>Maintainability</t>
  </si>
  <si>
    <t>Separation of responsibilities and reusable design.</t>
  </si>
  <si>
    <t>Testing</t>
  </si>
  <si>
    <t>Confidence that changes do not break existing behavior.</t>
  </si>
  <si>
    <t>Overall Score</t>
  </si>
  <si>
    <t>Learning Notes &amp; Reflections</t>
  </si>
  <si>
    <t>What I Learned</t>
  </si>
  <si>
    <t>What I Found Difficult</t>
  </si>
  <si>
    <t>Questions / Follow-up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</si>
</sst>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8FBFD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9" fontId="0" fillId="4" borderId="0" xfId="0" applyNumberForma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0" fillId="0" borderId="1" xfId="0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3" fillId="0" borderId="0" xfId="0" applyFon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2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1" fillId="2" borderId="0" xfId="0" applyFont="1" applyFill="1" applyAlignment="1">
      <alignment vertical="top" wrapText="1"/>
    </xf>
    <xf numFmtId="0" fontId="4" fillId="2" borderId="0" xfId="0" applyFont="1" applyFill="1"/>
    <xf numFmtId="0" fontId="5" fillId="2" borderId="0" xfId="0" applyFont="1" applyFill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Week Progress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Dashboard!$D$12</c:f>
              <c:strCache>
                <c:ptCount val="1"/>
                <c:pt idx="0">
                  <c:v>Progress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Dashboard!$A$13:$A$28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cat>
          <c:val>
            <c:numRef>
              <c:f>Dashboard!$D$13:$D$28</c:f>
              <c:numCache>
                <c:formatCode>0%</c:formatCode>
                <c:ptCount val="16"/>
                <c:pt idx="0">
                  <c:v>1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35-4011-B71B-5846170F7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Progress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11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5"/>
  <sheetViews>
    <sheetView showGridLines="0" workbookViewId="0">
      <pane ySplit="1" topLeftCell="A29" activePane="bottomLeft" state="frozen"/>
      <selection pane="bottomLeft"/>
    </sheetView>
  </sheetViews>
  <sheetFormatPr defaultRowHeight="15" x14ac:dyDescent="0.25"/>
  <cols>
    <col min="1" max="1" width="10" customWidth="1"/>
    <col min="2" max="2" width="38" customWidth="1"/>
    <col min="3" max="3" width="16" customWidth="1"/>
    <col min="4" max="4" width="14" customWidth="1"/>
    <col min="5" max="5" width="58" customWidth="1"/>
    <col min="6" max="6" width="3" customWidth="1"/>
    <col min="7" max="8" width="12" customWidth="1"/>
  </cols>
  <sheetData>
    <row r="1" spans="1:8" x14ac:dyDescent="0.25">
      <c r="A1" s="15" t="s">
        <v>0</v>
      </c>
      <c r="B1" s="11"/>
      <c r="C1" s="11"/>
      <c r="D1" s="11"/>
      <c r="E1" s="11"/>
      <c r="F1" s="11"/>
      <c r="G1" s="11"/>
      <c r="H1" s="11"/>
    </row>
    <row r="2" spans="1:8" x14ac:dyDescent="0.25">
      <c r="A2" s="13" t="s">
        <v>1</v>
      </c>
      <c r="B2" s="11"/>
      <c r="C2" s="11"/>
      <c r="D2" s="11"/>
      <c r="E2" s="11"/>
      <c r="F2" s="11"/>
      <c r="G2" s="11"/>
      <c r="H2" s="11"/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ht="30" x14ac:dyDescent="0.25">
      <c r="A4" s="2" t="s">
        <v>2</v>
      </c>
      <c r="B4" s="3" t="s">
        <v>3</v>
      </c>
      <c r="C4" s="1"/>
      <c r="D4" s="14" t="s">
        <v>4</v>
      </c>
      <c r="E4" s="11"/>
      <c r="F4" s="11"/>
      <c r="G4" s="11"/>
      <c r="H4" s="11"/>
    </row>
    <row r="5" spans="1:8" ht="30" x14ac:dyDescent="0.25">
      <c r="A5" s="2" t="s">
        <v>5</v>
      </c>
      <c r="B5" s="5">
        <f>COUNTIF(Curriculum!E2:E17,"Completed")/16</f>
        <v>6.25E-2</v>
      </c>
      <c r="C5" s="1"/>
      <c r="D5" s="11" t="s">
        <v>6</v>
      </c>
      <c r="E5" s="11"/>
      <c r="F5" s="11"/>
      <c r="G5" s="11"/>
      <c r="H5" s="11"/>
    </row>
    <row r="6" spans="1:8" ht="30" x14ac:dyDescent="0.25">
      <c r="A6" s="2" t="s">
        <v>7</v>
      </c>
      <c r="B6" s="3">
        <f>COUNTIF(Curriculum!E2:E17,"Completed")</f>
        <v>1</v>
      </c>
      <c r="C6" s="1"/>
      <c r="D6" s="11" t="s">
        <v>8</v>
      </c>
      <c r="E6" s="11"/>
      <c r="F6" s="11"/>
      <c r="G6" s="11"/>
      <c r="H6" s="11"/>
    </row>
    <row r="7" spans="1:8" ht="45" x14ac:dyDescent="0.25">
      <c r="A7" s="2" t="s">
        <v>9</v>
      </c>
      <c r="B7" s="3">
        <f>COUNTIF(Curriculum!E2:E17,"In Progress")</f>
        <v>1</v>
      </c>
      <c r="C7" s="1"/>
      <c r="D7" s="11" t="s">
        <v>10</v>
      </c>
      <c r="E7" s="11"/>
      <c r="F7" s="11"/>
      <c r="G7" s="11"/>
      <c r="H7" s="11"/>
    </row>
    <row r="8" spans="1:8" ht="45" x14ac:dyDescent="0.25">
      <c r="A8" s="2" t="s">
        <v>11</v>
      </c>
      <c r="B8" s="3">
        <f>16-COUNTIF(Curriculum!E2:E17,"Completed")</f>
        <v>15</v>
      </c>
      <c r="C8" s="1"/>
      <c r="D8" s="11" t="s">
        <v>12</v>
      </c>
      <c r="E8" s="11"/>
      <c r="F8" s="11"/>
      <c r="G8" s="11"/>
      <c r="H8" s="11"/>
    </row>
    <row r="9" spans="1:8" x14ac:dyDescent="0.25">
      <c r="A9" s="1"/>
      <c r="B9" s="1"/>
      <c r="C9" s="1"/>
      <c r="D9" s="11" t="s">
        <v>13</v>
      </c>
      <c r="E9" s="11"/>
      <c r="F9" s="11"/>
      <c r="G9" s="11"/>
      <c r="H9" s="11"/>
    </row>
    <row r="10" spans="1:8" x14ac:dyDescent="0.25">
      <c r="A10" s="1"/>
      <c r="B10" s="1"/>
      <c r="C10" s="1"/>
      <c r="D10" s="11" t="s">
        <v>14</v>
      </c>
      <c r="E10" s="11"/>
      <c r="F10" s="11"/>
      <c r="G10" s="11"/>
      <c r="H10" s="11"/>
    </row>
    <row r="11" spans="1:8" x14ac:dyDescent="0.25">
      <c r="A11" s="14" t="s">
        <v>15</v>
      </c>
      <c r="B11" s="11"/>
      <c r="C11" s="11"/>
      <c r="D11" s="11"/>
      <c r="E11" s="11"/>
      <c r="F11" s="11"/>
      <c r="G11" s="11"/>
      <c r="H11" s="11"/>
    </row>
    <row r="12" spans="1:8" x14ac:dyDescent="0.25">
      <c r="A12" s="6" t="s">
        <v>16</v>
      </c>
      <c r="B12" s="6" t="s">
        <v>17</v>
      </c>
      <c r="C12" s="6" t="s">
        <v>18</v>
      </c>
      <c r="D12" s="6" t="s">
        <v>19</v>
      </c>
      <c r="E12" s="6" t="s">
        <v>20</v>
      </c>
      <c r="F12" s="1"/>
      <c r="G12" s="1"/>
      <c r="H12" s="1"/>
    </row>
    <row r="13" spans="1:8" ht="42" customHeight="1" x14ac:dyDescent="0.25">
      <c r="A13" s="7">
        <v>1</v>
      </c>
      <c r="B13" s="7" t="s">
        <v>21</v>
      </c>
      <c r="C13" s="7" t="str">
        <f>Curriculum!E2</f>
        <v>Completed</v>
      </c>
      <c r="D13" s="8">
        <f t="shared" ref="D13:D28" si="0">IF(C13="Completed",1,IF(C13="In Progress",0.5,0))</f>
        <v>1</v>
      </c>
      <c r="E13" s="7" t="s">
        <v>22</v>
      </c>
      <c r="F13" s="1"/>
      <c r="G13" s="1"/>
      <c r="H13" s="1"/>
    </row>
    <row r="14" spans="1:8" ht="42" customHeight="1" x14ac:dyDescent="0.25">
      <c r="A14" s="7">
        <v>2</v>
      </c>
      <c r="B14" s="7" t="s">
        <v>23</v>
      </c>
      <c r="C14" s="7" t="str">
        <f>Curriculum!E3</f>
        <v>In Progress</v>
      </c>
      <c r="D14" s="8">
        <f t="shared" si="0"/>
        <v>0.5</v>
      </c>
      <c r="E14" s="7" t="s">
        <v>24</v>
      </c>
      <c r="F14" s="1"/>
      <c r="G14" s="1"/>
      <c r="H14" s="1"/>
    </row>
    <row r="15" spans="1:8" ht="42" customHeight="1" x14ac:dyDescent="0.25">
      <c r="A15" s="7">
        <v>3</v>
      </c>
      <c r="B15" s="7" t="s">
        <v>25</v>
      </c>
      <c r="C15" s="7" t="str">
        <f>Curriculum!E4</f>
        <v>Not Started</v>
      </c>
      <c r="D15" s="8">
        <f t="shared" si="0"/>
        <v>0</v>
      </c>
      <c r="E15" s="7" t="s">
        <v>26</v>
      </c>
      <c r="F15" s="1"/>
      <c r="G15" s="1"/>
      <c r="H15" s="1"/>
    </row>
    <row r="16" spans="1:8" ht="42" customHeight="1" x14ac:dyDescent="0.25">
      <c r="A16" s="7">
        <v>4</v>
      </c>
      <c r="B16" s="7" t="s">
        <v>27</v>
      </c>
      <c r="C16" s="7" t="str">
        <f>Curriculum!E5</f>
        <v>Not Started</v>
      </c>
      <c r="D16" s="8">
        <f t="shared" si="0"/>
        <v>0</v>
      </c>
      <c r="E16" s="7" t="s">
        <v>28</v>
      </c>
      <c r="F16" s="1"/>
      <c r="G16" s="1"/>
      <c r="H16" s="1"/>
    </row>
    <row r="17" spans="1:8" ht="42" customHeight="1" x14ac:dyDescent="0.25">
      <c r="A17" s="7">
        <v>5</v>
      </c>
      <c r="B17" s="7" t="s">
        <v>29</v>
      </c>
      <c r="C17" s="7" t="str">
        <f>Curriculum!E6</f>
        <v>Not Started</v>
      </c>
      <c r="D17" s="8">
        <f t="shared" si="0"/>
        <v>0</v>
      </c>
      <c r="E17" s="7" t="s">
        <v>30</v>
      </c>
      <c r="F17" s="1"/>
      <c r="G17" s="1"/>
      <c r="H17" s="1"/>
    </row>
    <row r="18" spans="1:8" ht="42" customHeight="1" x14ac:dyDescent="0.25">
      <c r="A18" s="7">
        <v>6</v>
      </c>
      <c r="B18" s="7" t="s">
        <v>31</v>
      </c>
      <c r="C18" s="7" t="str">
        <f>Curriculum!E7</f>
        <v>Not Started</v>
      </c>
      <c r="D18" s="8">
        <f t="shared" si="0"/>
        <v>0</v>
      </c>
      <c r="E18" s="7" t="s">
        <v>32</v>
      </c>
      <c r="F18" s="1"/>
      <c r="G18" s="1"/>
      <c r="H18" s="1"/>
    </row>
    <row r="19" spans="1:8" ht="42" customHeight="1" x14ac:dyDescent="0.25">
      <c r="A19" s="7">
        <v>7</v>
      </c>
      <c r="B19" s="7" t="s">
        <v>33</v>
      </c>
      <c r="C19" s="7" t="str">
        <f>Curriculum!E8</f>
        <v>Not Started</v>
      </c>
      <c r="D19" s="8">
        <f t="shared" si="0"/>
        <v>0</v>
      </c>
      <c r="E19" s="7" t="s">
        <v>34</v>
      </c>
      <c r="F19" s="1"/>
      <c r="G19" s="1"/>
      <c r="H19" s="1"/>
    </row>
    <row r="20" spans="1:8" ht="42" customHeight="1" x14ac:dyDescent="0.25">
      <c r="A20" s="7">
        <v>8</v>
      </c>
      <c r="B20" s="7" t="s">
        <v>35</v>
      </c>
      <c r="C20" s="7" t="str">
        <f>Curriculum!E9</f>
        <v>Not Started</v>
      </c>
      <c r="D20" s="8">
        <f t="shared" si="0"/>
        <v>0</v>
      </c>
      <c r="E20" s="7" t="s">
        <v>36</v>
      </c>
      <c r="F20" s="1"/>
      <c r="G20" s="1"/>
      <c r="H20" s="1"/>
    </row>
    <row r="21" spans="1:8" ht="42" customHeight="1" x14ac:dyDescent="0.25">
      <c r="A21" s="7">
        <v>9</v>
      </c>
      <c r="B21" s="7" t="s">
        <v>37</v>
      </c>
      <c r="C21" s="7" t="str">
        <f>Curriculum!E10</f>
        <v>Not Started</v>
      </c>
      <c r="D21" s="8">
        <f t="shared" si="0"/>
        <v>0</v>
      </c>
      <c r="E21" s="7" t="s">
        <v>38</v>
      </c>
      <c r="F21" s="1"/>
      <c r="G21" s="1"/>
      <c r="H21" s="1"/>
    </row>
    <row r="22" spans="1:8" ht="42" customHeight="1" x14ac:dyDescent="0.25">
      <c r="A22" s="7">
        <v>10</v>
      </c>
      <c r="B22" s="7" t="s">
        <v>39</v>
      </c>
      <c r="C22" s="7" t="str">
        <f>Curriculum!E11</f>
        <v>Not Started</v>
      </c>
      <c r="D22" s="8">
        <f t="shared" si="0"/>
        <v>0</v>
      </c>
      <c r="E22" s="7" t="s">
        <v>40</v>
      </c>
      <c r="F22" s="1"/>
      <c r="G22" s="1"/>
      <c r="H22" s="1"/>
    </row>
    <row r="23" spans="1:8" ht="42" customHeight="1" x14ac:dyDescent="0.25">
      <c r="A23" s="7">
        <v>11</v>
      </c>
      <c r="B23" s="7" t="s">
        <v>41</v>
      </c>
      <c r="C23" s="7" t="str">
        <f>Curriculum!E12</f>
        <v>Not Started</v>
      </c>
      <c r="D23" s="8">
        <f t="shared" si="0"/>
        <v>0</v>
      </c>
      <c r="E23" s="7" t="s">
        <v>42</v>
      </c>
      <c r="F23" s="1"/>
      <c r="G23" s="1"/>
      <c r="H23" s="1"/>
    </row>
    <row r="24" spans="1:8" ht="42" customHeight="1" x14ac:dyDescent="0.25">
      <c r="A24" s="7">
        <v>12</v>
      </c>
      <c r="B24" s="7" t="s">
        <v>43</v>
      </c>
      <c r="C24" s="7" t="str">
        <f>Curriculum!E13</f>
        <v>Not Started</v>
      </c>
      <c r="D24" s="8">
        <f t="shared" si="0"/>
        <v>0</v>
      </c>
      <c r="E24" s="7" t="s">
        <v>44</v>
      </c>
      <c r="F24" s="1"/>
      <c r="G24" s="1"/>
      <c r="H24" s="1"/>
    </row>
    <row r="25" spans="1:8" ht="42" customHeight="1" x14ac:dyDescent="0.25">
      <c r="A25" s="7">
        <v>13</v>
      </c>
      <c r="B25" s="7" t="s">
        <v>45</v>
      </c>
      <c r="C25" s="7" t="str">
        <f>Curriculum!E14</f>
        <v>Not Started</v>
      </c>
      <c r="D25" s="8">
        <f t="shared" si="0"/>
        <v>0</v>
      </c>
      <c r="E25" s="7" t="s">
        <v>46</v>
      </c>
      <c r="F25" s="1"/>
      <c r="G25" s="1"/>
      <c r="H25" s="1"/>
    </row>
    <row r="26" spans="1:8" ht="42" customHeight="1" x14ac:dyDescent="0.25">
      <c r="A26" s="7">
        <v>14</v>
      </c>
      <c r="B26" s="7" t="s">
        <v>47</v>
      </c>
      <c r="C26" s="7" t="str">
        <f>Curriculum!E15</f>
        <v>Not Started</v>
      </c>
      <c r="D26" s="8">
        <f t="shared" si="0"/>
        <v>0</v>
      </c>
      <c r="E26" s="7" t="s">
        <v>48</v>
      </c>
      <c r="F26" s="1"/>
      <c r="G26" s="1"/>
      <c r="H26" s="1"/>
    </row>
    <row r="27" spans="1:8" ht="42" customHeight="1" x14ac:dyDescent="0.25">
      <c r="A27" s="7">
        <v>15</v>
      </c>
      <c r="B27" s="7" t="s">
        <v>49</v>
      </c>
      <c r="C27" s="7" t="str">
        <f>Curriculum!E16</f>
        <v>Not Started</v>
      </c>
      <c r="D27" s="8">
        <f t="shared" si="0"/>
        <v>0</v>
      </c>
      <c r="E27" s="7" t="s">
        <v>50</v>
      </c>
      <c r="F27" s="1"/>
      <c r="G27" s="1"/>
      <c r="H27" s="1"/>
    </row>
    <row r="28" spans="1:8" ht="42" customHeight="1" x14ac:dyDescent="0.25">
      <c r="A28" s="7">
        <v>16</v>
      </c>
      <c r="B28" s="7" t="s">
        <v>51</v>
      </c>
      <c r="C28" s="7" t="str">
        <f>Curriculum!E17</f>
        <v>Not Started</v>
      </c>
      <c r="D28" s="8">
        <f t="shared" si="0"/>
        <v>0</v>
      </c>
      <c r="E28" s="7" t="s">
        <v>52</v>
      </c>
      <c r="F28" s="1"/>
      <c r="G28" s="1"/>
      <c r="H28" s="1"/>
    </row>
    <row r="31" spans="1:8" x14ac:dyDescent="0.25">
      <c r="A31" s="16" t="s">
        <v>53</v>
      </c>
      <c r="B31" s="12"/>
      <c r="C31" s="12"/>
      <c r="D31" s="12"/>
      <c r="E31" s="12"/>
      <c r="F31" s="12"/>
      <c r="G31" s="12"/>
      <c r="H31" s="12"/>
    </row>
    <row r="32" spans="1:8" x14ac:dyDescent="0.25">
      <c r="A32" s="12" t="s">
        <v>54</v>
      </c>
      <c r="B32" s="12"/>
      <c r="C32" s="12"/>
      <c r="D32" s="12"/>
      <c r="E32" s="12"/>
      <c r="F32" s="12"/>
      <c r="G32" s="12"/>
      <c r="H32" s="12"/>
    </row>
    <row r="33" spans="1:8" x14ac:dyDescent="0.25">
      <c r="A33" s="12" t="s">
        <v>55</v>
      </c>
      <c r="B33" s="12"/>
      <c r="C33" s="12"/>
      <c r="D33" s="12"/>
      <c r="E33" s="12"/>
      <c r="F33" s="12"/>
      <c r="G33" s="12"/>
      <c r="H33" s="12"/>
    </row>
    <row r="34" spans="1:8" x14ac:dyDescent="0.25">
      <c r="A34" s="12" t="s">
        <v>56</v>
      </c>
      <c r="B34" s="12"/>
      <c r="C34" s="12"/>
      <c r="D34" s="12"/>
      <c r="E34" s="12"/>
      <c r="F34" s="12"/>
      <c r="G34" s="12"/>
      <c r="H34" s="12"/>
    </row>
    <row r="35" spans="1:8" x14ac:dyDescent="0.25">
      <c r="A35" s="12" t="s">
        <v>57</v>
      </c>
      <c r="B35" s="12"/>
      <c r="C35" s="12"/>
      <c r="D35" s="12"/>
      <c r="E35" s="12"/>
      <c r="F35" s="12"/>
      <c r="G35" s="12"/>
      <c r="H35" s="12"/>
    </row>
  </sheetData>
  <mergeCells count="15">
    <mergeCell ref="A2:H2"/>
    <mergeCell ref="D5:H5"/>
    <mergeCell ref="A33:H33"/>
    <mergeCell ref="A11:H11"/>
    <mergeCell ref="A1:H1"/>
    <mergeCell ref="D4:H4"/>
    <mergeCell ref="A32:H32"/>
    <mergeCell ref="A31:H31"/>
    <mergeCell ref="D9:H9"/>
    <mergeCell ref="D7:H7"/>
    <mergeCell ref="D8:H8"/>
    <mergeCell ref="D6:H6"/>
    <mergeCell ref="A35:H35"/>
    <mergeCell ref="D10:H10"/>
    <mergeCell ref="A34:H34"/>
  </mergeCells>
  <pageMargins left="0.75" right="0.75" top="1" bottom="1" header="0.5" footer="0.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7"/>
  <sheetViews>
    <sheetView showGridLines="0"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6.140625" customWidth="1"/>
    <col min="2" max="2" width="38" customWidth="1"/>
    <col min="3" max="3" width="78" customWidth="1"/>
    <col min="4" max="4" width="58" customWidth="1"/>
    <col min="5" max="5" width="16" customWidth="1"/>
    <col min="6" max="7" width="14" customWidth="1"/>
    <col min="8" max="8" width="45" customWidth="1"/>
  </cols>
  <sheetData>
    <row r="1" spans="1:8" x14ac:dyDescent="0.25">
      <c r="A1" s="4" t="s">
        <v>16</v>
      </c>
      <c r="B1" s="4" t="s">
        <v>17</v>
      </c>
      <c r="C1" s="4" t="s">
        <v>58</v>
      </c>
      <c r="D1" s="4" t="s">
        <v>20</v>
      </c>
      <c r="E1" s="4" t="s">
        <v>18</v>
      </c>
      <c r="F1" s="4" t="s">
        <v>59</v>
      </c>
      <c r="G1" s="4" t="s">
        <v>60</v>
      </c>
      <c r="H1" s="4" t="s">
        <v>61</v>
      </c>
    </row>
    <row r="2" spans="1:8" ht="69.95" customHeight="1" x14ac:dyDescent="0.25">
      <c r="A2" s="7">
        <v>1</v>
      </c>
      <c r="B2" s="7" t="s">
        <v>21</v>
      </c>
      <c r="C2" s="7" t="s">
        <v>62</v>
      </c>
      <c r="D2" s="7" t="s">
        <v>22</v>
      </c>
      <c r="E2" s="7" t="s">
        <v>63</v>
      </c>
      <c r="F2" s="7"/>
      <c r="G2" s="7"/>
      <c r="H2" s="7"/>
    </row>
    <row r="3" spans="1:8" ht="69.95" customHeight="1" x14ac:dyDescent="0.25">
      <c r="A3" s="7">
        <v>2</v>
      </c>
      <c r="B3" s="7" t="s">
        <v>23</v>
      </c>
      <c r="C3" s="7" t="s">
        <v>64</v>
      </c>
      <c r="D3" s="7" t="s">
        <v>24</v>
      </c>
      <c r="E3" s="7" t="s">
        <v>65</v>
      </c>
      <c r="F3" s="7"/>
      <c r="G3" s="7"/>
      <c r="H3" s="7"/>
    </row>
    <row r="4" spans="1:8" ht="69.95" customHeight="1" x14ac:dyDescent="0.25">
      <c r="A4" s="7">
        <v>3</v>
      </c>
      <c r="B4" s="7" t="s">
        <v>25</v>
      </c>
      <c r="C4" s="7" t="s">
        <v>66</v>
      </c>
      <c r="D4" s="7" t="s">
        <v>26</v>
      </c>
      <c r="E4" s="7" t="s">
        <v>67</v>
      </c>
      <c r="F4" s="7"/>
      <c r="G4" s="7"/>
      <c r="H4" s="7"/>
    </row>
    <row r="5" spans="1:8" ht="69.95" customHeight="1" x14ac:dyDescent="0.25">
      <c r="A5" s="7">
        <v>4</v>
      </c>
      <c r="B5" s="7" t="s">
        <v>27</v>
      </c>
      <c r="C5" s="7" t="s">
        <v>68</v>
      </c>
      <c r="D5" s="7" t="s">
        <v>28</v>
      </c>
      <c r="E5" s="7" t="s">
        <v>67</v>
      </c>
      <c r="F5" s="7"/>
      <c r="G5" s="7"/>
      <c r="H5" s="7"/>
    </row>
    <row r="6" spans="1:8" ht="69.95" customHeight="1" x14ac:dyDescent="0.25">
      <c r="A6" s="7">
        <v>5</v>
      </c>
      <c r="B6" s="7" t="s">
        <v>29</v>
      </c>
      <c r="C6" s="7" t="s">
        <v>69</v>
      </c>
      <c r="D6" s="7" t="s">
        <v>30</v>
      </c>
      <c r="E6" s="7" t="s">
        <v>67</v>
      </c>
      <c r="F6" s="7"/>
      <c r="G6" s="7"/>
      <c r="H6" s="7"/>
    </row>
    <row r="7" spans="1:8" ht="69.95" customHeight="1" x14ac:dyDescent="0.25">
      <c r="A7" s="7">
        <v>6</v>
      </c>
      <c r="B7" s="7" t="s">
        <v>31</v>
      </c>
      <c r="C7" s="7" t="s">
        <v>70</v>
      </c>
      <c r="D7" s="7" t="s">
        <v>32</v>
      </c>
      <c r="E7" s="7" t="s">
        <v>67</v>
      </c>
      <c r="F7" s="7"/>
      <c r="G7" s="7"/>
      <c r="H7" s="7"/>
    </row>
    <row r="8" spans="1:8" ht="69.95" customHeight="1" x14ac:dyDescent="0.25">
      <c r="A8" s="7">
        <v>7</v>
      </c>
      <c r="B8" s="7" t="s">
        <v>33</v>
      </c>
      <c r="C8" s="7" t="s">
        <v>71</v>
      </c>
      <c r="D8" s="7" t="s">
        <v>34</v>
      </c>
      <c r="E8" s="7" t="s">
        <v>67</v>
      </c>
      <c r="F8" s="7"/>
      <c r="G8" s="7"/>
      <c r="H8" s="7"/>
    </row>
    <row r="9" spans="1:8" ht="69.95" customHeight="1" x14ac:dyDescent="0.25">
      <c r="A9" s="7">
        <v>8</v>
      </c>
      <c r="B9" s="7" t="s">
        <v>35</v>
      </c>
      <c r="C9" s="7" t="s">
        <v>72</v>
      </c>
      <c r="D9" s="7" t="s">
        <v>36</v>
      </c>
      <c r="E9" s="7" t="s">
        <v>67</v>
      </c>
      <c r="F9" s="7"/>
      <c r="G9" s="7"/>
      <c r="H9" s="7"/>
    </row>
    <row r="10" spans="1:8" ht="69.95" customHeight="1" x14ac:dyDescent="0.25">
      <c r="A10" s="7">
        <v>9</v>
      </c>
      <c r="B10" s="7" t="s">
        <v>37</v>
      </c>
      <c r="C10" s="7" t="s">
        <v>73</v>
      </c>
      <c r="D10" s="7" t="s">
        <v>38</v>
      </c>
      <c r="E10" s="7" t="s">
        <v>67</v>
      </c>
      <c r="F10" s="7"/>
      <c r="G10" s="7"/>
      <c r="H10" s="7"/>
    </row>
    <row r="11" spans="1:8" ht="69.95" customHeight="1" x14ac:dyDescent="0.25">
      <c r="A11" s="7">
        <v>10</v>
      </c>
      <c r="B11" s="7" t="s">
        <v>39</v>
      </c>
      <c r="C11" s="7" t="s">
        <v>74</v>
      </c>
      <c r="D11" s="7" t="s">
        <v>40</v>
      </c>
      <c r="E11" s="7" t="s">
        <v>67</v>
      </c>
      <c r="F11" s="7"/>
      <c r="G11" s="7"/>
      <c r="H11" s="7"/>
    </row>
    <row r="12" spans="1:8" ht="69.95" customHeight="1" x14ac:dyDescent="0.25">
      <c r="A12" s="7">
        <v>11</v>
      </c>
      <c r="B12" s="7" t="s">
        <v>41</v>
      </c>
      <c r="C12" s="7" t="s">
        <v>75</v>
      </c>
      <c r="D12" s="7" t="s">
        <v>42</v>
      </c>
      <c r="E12" s="7" t="s">
        <v>67</v>
      </c>
      <c r="F12" s="7"/>
      <c r="G12" s="7"/>
      <c r="H12" s="7"/>
    </row>
    <row r="13" spans="1:8" ht="69.95" customHeight="1" x14ac:dyDescent="0.25">
      <c r="A13" s="7">
        <v>12</v>
      </c>
      <c r="B13" s="7" t="s">
        <v>43</v>
      </c>
      <c r="C13" s="7" t="s">
        <v>76</v>
      </c>
      <c r="D13" s="7" t="s">
        <v>44</v>
      </c>
      <c r="E13" s="7" t="s">
        <v>67</v>
      </c>
      <c r="F13" s="7"/>
      <c r="G13" s="7"/>
      <c r="H13" s="7"/>
    </row>
    <row r="14" spans="1:8" ht="69.95" customHeight="1" x14ac:dyDescent="0.25">
      <c r="A14" s="7">
        <v>13</v>
      </c>
      <c r="B14" s="7" t="s">
        <v>45</v>
      </c>
      <c r="C14" s="7" t="s">
        <v>77</v>
      </c>
      <c r="D14" s="7" t="s">
        <v>46</v>
      </c>
      <c r="E14" s="7" t="s">
        <v>67</v>
      </c>
      <c r="F14" s="7"/>
      <c r="G14" s="7"/>
      <c r="H14" s="7"/>
    </row>
    <row r="15" spans="1:8" ht="69.95" customHeight="1" x14ac:dyDescent="0.25">
      <c r="A15" s="7">
        <v>14</v>
      </c>
      <c r="B15" s="7" t="s">
        <v>47</v>
      </c>
      <c r="C15" s="7" t="s">
        <v>78</v>
      </c>
      <c r="D15" s="7" t="s">
        <v>48</v>
      </c>
      <c r="E15" s="7" t="s">
        <v>67</v>
      </c>
      <c r="F15" s="7"/>
      <c r="G15" s="7"/>
      <c r="H15" s="7"/>
    </row>
    <row r="16" spans="1:8" ht="69.95" customHeight="1" x14ac:dyDescent="0.25">
      <c r="A16" s="7">
        <v>15</v>
      </c>
      <c r="B16" s="7" t="s">
        <v>49</v>
      </c>
      <c r="C16" s="7" t="s">
        <v>79</v>
      </c>
      <c r="D16" s="7" t="s">
        <v>50</v>
      </c>
      <c r="E16" s="7" t="s">
        <v>67</v>
      </c>
      <c r="F16" s="7"/>
      <c r="G16" s="7"/>
      <c r="H16" s="7"/>
    </row>
    <row r="17" spans="1:8" ht="69.95" customHeight="1" x14ac:dyDescent="0.25">
      <c r="A17" s="7">
        <v>16</v>
      </c>
      <c r="B17" s="7" t="s">
        <v>51</v>
      </c>
      <c r="C17" s="7" t="s">
        <v>80</v>
      </c>
      <c r="D17" s="7" t="s">
        <v>52</v>
      </c>
      <c r="E17" s="7" t="s">
        <v>67</v>
      </c>
      <c r="F17" s="7"/>
      <c r="G17" s="7"/>
      <c r="H17" s="7"/>
    </row>
  </sheetData>
  <conditionalFormatting sqref="E2:E17">
    <cfRule type="expression" dxfId="2" priority="1">
      <formula>E2="Completed"</formula>
    </cfRule>
    <cfRule type="expression" dxfId="1" priority="2">
      <formula>E2="In Progress"</formula>
    </cfRule>
    <cfRule type="expression" dxfId="0" priority="3">
      <formula>E2="Paused"</formula>
    </cfRule>
  </conditionalFormatting>
  <dataValidations count="1">
    <dataValidation type="list" sqref="E2:E17" xr:uid="{00000000-0002-0000-0100-000000000000}">
      <formula1>"Not Started,In Progress,Completed,Paused"</formula1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6"/>
  <sheetViews>
    <sheetView showGridLines="0" workbookViewId="0">
      <pane ySplit="1" topLeftCell="A2" activePane="bottomLeft" state="frozen"/>
      <selection pane="bottomLeft" activeCell="E22" sqref="E22"/>
    </sheetView>
  </sheetViews>
  <sheetFormatPr defaultRowHeight="15" x14ac:dyDescent="0.25"/>
  <cols>
    <col min="1" max="1" width="14" customWidth="1"/>
    <col min="2" max="2" width="8" customWidth="1"/>
    <col min="3" max="3" width="34" customWidth="1"/>
    <col min="4" max="4" width="30" customWidth="1"/>
    <col min="5" max="5" width="16" customWidth="1"/>
    <col min="6" max="6" width="38" customWidth="1"/>
    <col min="7" max="8" width="45" customWidth="1"/>
  </cols>
  <sheetData>
    <row r="1" spans="1:8" x14ac:dyDescent="0.25">
      <c r="A1" s="4" t="s">
        <v>81</v>
      </c>
      <c r="B1" s="4" t="s">
        <v>16</v>
      </c>
      <c r="C1" s="4" t="s">
        <v>82</v>
      </c>
      <c r="D1" s="4" t="s">
        <v>83</v>
      </c>
      <c r="E1" s="4" t="s">
        <v>18</v>
      </c>
      <c r="F1" s="4" t="s">
        <v>84</v>
      </c>
      <c r="G1" s="4" t="s">
        <v>85</v>
      </c>
      <c r="H1" s="4" t="s">
        <v>86</v>
      </c>
    </row>
    <row r="2" spans="1:8" x14ac:dyDescent="0.25">
      <c r="A2" s="7" t="s">
        <v>87</v>
      </c>
      <c r="B2" s="7">
        <v>2</v>
      </c>
      <c r="C2" s="7" t="s">
        <v>88</v>
      </c>
      <c r="D2" s="7" t="s">
        <v>89</v>
      </c>
      <c r="E2" s="7" t="s">
        <v>63</v>
      </c>
      <c r="F2" s="7" t="s">
        <v>90</v>
      </c>
      <c r="G2" s="7" t="s">
        <v>91</v>
      </c>
      <c r="H2" s="7" t="s">
        <v>92</v>
      </c>
    </row>
    <row r="3" spans="1:8" x14ac:dyDescent="0.25">
      <c r="A3" s="7" t="s">
        <v>87</v>
      </c>
      <c r="B3" s="7">
        <v>2</v>
      </c>
      <c r="C3" s="7" t="s">
        <v>93</v>
      </c>
      <c r="D3" s="7" t="s">
        <v>94</v>
      </c>
      <c r="E3" s="7" t="s">
        <v>63</v>
      </c>
      <c r="F3" s="7" t="s">
        <v>95</v>
      </c>
      <c r="G3" s="7" t="s">
        <v>96</v>
      </c>
      <c r="H3" s="7" t="s">
        <v>97</v>
      </c>
    </row>
    <row r="4" spans="1:8" x14ac:dyDescent="0.25">
      <c r="A4" s="7" t="s">
        <v>98</v>
      </c>
      <c r="B4" s="7">
        <v>2</v>
      </c>
      <c r="C4" s="7" t="s">
        <v>99</v>
      </c>
      <c r="D4" s="7" t="s">
        <v>100</v>
      </c>
      <c r="E4" s="7" t="s">
        <v>63</v>
      </c>
      <c r="F4" s="7" t="s">
        <v>101</v>
      </c>
      <c r="G4" s="7" t="s">
        <v>96</v>
      </c>
      <c r="H4" s="7" t="s">
        <v>102</v>
      </c>
    </row>
    <row r="5" spans="1:8" x14ac:dyDescent="0.25">
      <c r="A5" s="7" t="s">
        <v>98</v>
      </c>
      <c r="B5" s="7">
        <v>2</v>
      </c>
      <c r="C5" s="7" t="s">
        <v>103</v>
      </c>
      <c r="D5" s="7" t="s">
        <v>104</v>
      </c>
      <c r="E5" s="7" t="s">
        <v>63</v>
      </c>
      <c r="F5" s="7" t="s">
        <v>105</v>
      </c>
      <c r="G5" s="7" t="s">
        <v>106</v>
      </c>
      <c r="H5" s="7" t="s">
        <v>107</v>
      </c>
    </row>
    <row r="6" spans="1:8" ht="30" x14ac:dyDescent="0.25">
      <c r="A6" s="7" t="s">
        <v>98</v>
      </c>
      <c r="B6" s="7">
        <v>2</v>
      </c>
      <c r="C6" s="7" t="s">
        <v>108</v>
      </c>
      <c r="D6" s="7" t="s">
        <v>109</v>
      </c>
      <c r="E6" s="7" t="s">
        <v>65</v>
      </c>
      <c r="F6" s="7"/>
      <c r="G6" s="7"/>
      <c r="H6" s="7" t="s">
        <v>110</v>
      </c>
    </row>
  </sheetData>
  <dataValidations count="1">
    <dataValidation type="list" sqref="E2:E200" xr:uid="{00000000-0002-0000-0200-000000000000}">
      <formula1>"Not Started,In Progress,Completed,Paused"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3"/>
  <sheetViews>
    <sheetView showGridLines="0" workbookViewId="0">
      <pane ySplit="1" topLeftCell="A2" activePane="bottomLeft" state="frozen"/>
      <selection pane="bottomLeft" activeCell="B23" sqref="B23"/>
    </sheetView>
  </sheetViews>
  <sheetFormatPr defaultRowHeight="15" x14ac:dyDescent="0.25"/>
  <cols>
    <col min="1" max="1" width="25" customWidth="1"/>
    <col min="2" max="2" width="65" customWidth="1"/>
    <col min="3" max="3" width="14" customWidth="1"/>
    <col min="4" max="4" width="60" customWidth="1"/>
  </cols>
  <sheetData>
    <row r="1" spans="1:4" x14ac:dyDescent="0.25">
      <c r="A1" s="17" t="s">
        <v>111</v>
      </c>
      <c r="B1" s="11"/>
      <c r="C1" s="11"/>
      <c r="D1" s="11"/>
    </row>
    <row r="2" spans="1:4" x14ac:dyDescent="0.25">
      <c r="A2" s="1"/>
      <c r="B2" s="1"/>
      <c r="C2" s="1"/>
      <c r="D2" s="1"/>
    </row>
    <row r="3" spans="1:4" x14ac:dyDescent="0.25">
      <c r="A3" s="6" t="s">
        <v>112</v>
      </c>
      <c r="B3" s="6" t="s">
        <v>113</v>
      </c>
      <c r="C3" s="6" t="s">
        <v>114</v>
      </c>
      <c r="D3" s="6" t="s">
        <v>115</v>
      </c>
    </row>
    <row r="4" spans="1:4" x14ac:dyDescent="0.25">
      <c r="A4" s="7" t="s">
        <v>116</v>
      </c>
      <c r="B4" s="7" t="s">
        <v>117</v>
      </c>
      <c r="C4" s="7"/>
      <c r="D4" s="7"/>
    </row>
    <row r="5" spans="1:4" x14ac:dyDescent="0.25">
      <c r="A5" s="7" t="s">
        <v>118</v>
      </c>
      <c r="B5" s="7" t="s">
        <v>119</v>
      </c>
      <c r="C5" s="7"/>
      <c r="D5" s="7"/>
    </row>
    <row r="6" spans="1:4" ht="30" x14ac:dyDescent="0.25">
      <c r="A6" s="7" t="s">
        <v>120</v>
      </c>
      <c r="B6" s="7" t="s">
        <v>121</v>
      </c>
      <c r="C6" s="7"/>
      <c r="D6" s="7"/>
    </row>
    <row r="7" spans="1:4" x14ac:dyDescent="0.25">
      <c r="A7" s="7" t="s">
        <v>122</v>
      </c>
      <c r="B7" s="7" t="s">
        <v>123</v>
      </c>
      <c r="C7" s="7"/>
      <c r="D7" s="7"/>
    </row>
    <row r="8" spans="1:4" x14ac:dyDescent="0.25">
      <c r="A8" s="7" t="s">
        <v>124</v>
      </c>
      <c r="B8" s="7" t="s">
        <v>125</v>
      </c>
      <c r="C8" s="7"/>
      <c r="D8" s="7"/>
    </row>
    <row r="9" spans="1:4" ht="30" x14ac:dyDescent="0.25">
      <c r="A9" s="7" t="s">
        <v>126</v>
      </c>
      <c r="B9" s="7" t="s">
        <v>127</v>
      </c>
      <c r="C9" s="7"/>
      <c r="D9" s="7"/>
    </row>
    <row r="10" spans="1:4" x14ac:dyDescent="0.25">
      <c r="A10" s="7" t="s">
        <v>128</v>
      </c>
      <c r="B10" s="7" t="s">
        <v>129</v>
      </c>
      <c r="C10" s="7"/>
      <c r="D10" s="7"/>
    </row>
    <row r="11" spans="1:4" x14ac:dyDescent="0.25">
      <c r="A11" s="7" t="s">
        <v>130</v>
      </c>
      <c r="B11" s="7" t="s">
        <v>131</v>
      </c>
      <c r="C11" s="7"/>
      <c r="D11" s="7"/>
    </row>
    <row r="12" spans="1:4" x14ac:dyDescent="0.25">
      <c r="A12" s="1"/>
      <c r="B12" s="1"/>
      <c r="C12" s="1"/>
      <c r="D12" s="1"/>
    </row>
    <row r="13" spans="1:4" x14ac:dyDescent="0.25">
      <c r="A13" s="9" t="s">
        <v>132</v>
      </c>
      <c r="B13" s="10" t="str">
        <f>IFERROR(AVERAGE(C4:C11),"")</f>
        <v/>
      </c>
      <c r="C13" s="1"/>
      <c r="D13" s="1"/>
    </row>
  </sheetData>
  <mergeCells count="1">
    <mergeCell ref="A1:D1"/>
  </mergeCells>
  <dataValidations count="1">
    <dataValidation type="whole" allowBlank="1" sqref="C4:C11" xr:uid="{00000000-0002-0000-0300-000000000000}">
      <formula1>1</formula1>
      <formula2>5</formula2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3"/>
  <sheetViews>
    <sheetView showGridLines="0" workbookViewId="0">
      <pane ySplit="1" topLeftCell="A2" activePane="bottomLeft" state="frozen"/>
      <selection pane="bottomLeft" sqref="A1:F1"/>
    </sheetView>
  </sheetViews>
  <sheetFormatPr defaultRowHeight="15" x14ac:dyDescent="0.25"/>
  <cols>
    <col min="1" max="1" width="14" customWidth="1"/>
    <col min="2" max="2" width="8" customWidth="1"/>
    <col min="3" max="3" width="30" customWidth="1"/>
    <col min="4" max="4" width="55" customWidth="1"/>
    <col min="5" max="5" width="45" customWidth="1"/>
    <col min="6" max="6" width="50" customWidth="1"/>
  </cols>
  <sheetData>
    <row r="1" spans="1:6" x14ac:dyDescent="0.25">
      <c r="A1" s="17" t="s">
        <v>133</v>
      </c>
      <c r="B1" s="11"/>
      <c r="C1" s="11"/>
      <c r="D1" s="11"/>
      <c r="E1" s="11"/>
      <c r="F1" s="11"/>
    </row>
    <row r="2" spans="1:6" x14ac:dyDescent="0.25">
      <c r="A2" s="1"/>
      <c r="B2" s="1"/>
      <c r="C2" s="1"/>
      <c r="D2" s="1"/>
      <c r="E2" s="1"/>
      <c r="F2" s="1"/>
    </row>
    <row r="3" spans="1:6" x14ac:dyDescent="0.25">
      <c r="A3" s="6" t="s">
        <v>81</v>
      </c>
      <c r="B3" s="6" t="s">
        <v>16</v>
      </c>
      <c r="C3" s="6" t="s">
        <v>83</v>
      </c>
      <c r="D3" s="6" t="s">
        <v>134</v>
      </c>
      <c r="E3" s="6" t="s">
        <v>135</v>
      </c>
      <c r="F3" s="6" t="s">
        <v>136</v>
      </c>
    </row>
  </sheetData>
  <mergeCells count="1">
    <mergeCell ref="A1:F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Curriculum</vt:lpstr>
      <vt:lpstr>Drill Log</vt:lpstr>
      <vt:lpstr>Mentor Review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Sherif Mohamed</cp:lastModifiedBy>
  <dcterms:created xsi:type="dcterms:W3CDTF">2026-09-01T12:55:35Z</dcterms:created>
  <dcterms:modified xsi:type="dcterms:W3CDTF">2026-09-01T13:00:36Z</dcterms:modified>
</cp:coreProperties>
</file>